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Table" sheetId="3" state="visible" r:id="rId3"/>
    <sheet xmlns:r="http://schemas.openxmlformats.org/officeDocument/2006/relationships" name="Category Summary" sheetId="4" state="visible" r:id="rId4"/>
  </sheets>
  <definedNames>
    <definedName name="_xlnm._FilterDatabase" localSheetId="0" hidden="1">'Monthly Data'!$A$1:$E$37</definedName>
    <definedName name="_xlnm._FilterDatabase" localSheetId="3" hidden="1">'Category Summary'!$A$1:$H$7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5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s="2" t="inlineStr">
        <is>
          <t>Bakery</t>
        </is>
      </c>
      <c r="B2" s="2" t="inlineStr">
        <is>
          <t>2026-01</t>
        </is>
      </c>
      <c r="C2" s="3" t="n">
        <v>6</v>
      </c>
      <c r="D2" s="3" t="n">
        <v>735</v>
      </c>
      <c r="E2" s="2" t="n">
        <v>122.5</v>
      </c>
    </row>
    <row r="3">
      <c r="A3" s="2" t="inlineStr">
        <is>
          <t>Bakery</t>
        </is>
      </c>
      <c r="B3" s="2" t="inlineStr">
        <is>
          <t>2026-02</t>
        </is>
      </c>
      <c r="C3" s="3" t="n">
        <v>8</v>
      </c>
      <c r="D3" s="3" t="n">
        <v>2440</v>
      </c>
      <c r="E3" s="2" t="n">
        <v>305</v>
      </c>
    </row>
    <row r="4">
      <c r="A4" s="2" t="inlineStr">
        <is>
          <t>Bakery</t>
        </is>
      </c>
      <c r="B4" s="2" t="inlineStr">
        <is>
          <t>2026-03</t>
        </is>
      </c>
      <c r="C4" s="3" t="n">
        <v>11</v>
      </c>
      <c r="D4" s="3" t="n">
        <v>3090</v>
      </c>
      <c r="E4" s="2" t="n">
        <v>280.9090909090909</v>
      </c>
    </row>
    <row r="5">
      <c r="A5" s="2" t="inlineStr">
        <is>
          <t>Bakery</t>
        </is>
      </c>
      <c r="B5" s="2" t="inlineStr">
        <is>
          <t>2026-04</t>
        </is>
      </c>
      <c r="C5" s="3" t="n">
        <v>13</v>
      </c>
      <c r="D5" s="3" t="n">
        <v>3115</v>
      </c>
      <c r="E5" s="2" t="n">
        <v>239.6153846153846</v>
      </c>
    </row>
    <row r="6">
      <c r="A6" s="2" t="inlineStr">
        <is>
          <t>Bakery</t>
        </is>
      </c>
      <c r="B6" s="2" t="inlineStr">
        <is>
          <t>2026-05</t>
        </is>
      </c>
      <c r="C6" s="3" t="n">
        <v>15</v>
      </c>
      <c r="D6" s="3" t="n">
        <v>3695</v>
      </c>
      <c r="E6" s="2" t="n">
        <v>246.3333333333333</v>
      </c>
    </row>
    <row r="7">
      <c r="A7" s="2" t="inlineStr">
        <is>
          <t>Bakery</t>
        </is>
      </c>
      <c r="B7" s="2" t="inlineStr">
        <is>
          <t>2026-06</t>
        </is>
      </c>
      <c r="C7" s="3" t="n">
        <v>14</v>
      </c>
      <c r="D7" s="3" t="n">
        <v>2335</v>
      </c>
      <c r="E7" s="2" t="n">
        <v>166.7857142857143</v>
      </c>
    </row>
    <row r="8">
      <c r="A8" s="2" t="inlineStr">
        <is>
          <t>Dairy &amp; Eggs</t>
        </is>
      </c>
      <c r="B8" s="2" t="inlineStr">
        <is>
          <t>2026-01</t>
        </is>
      </c>
      <c r="C8" s="3" t="n">
        <v>9</v>
      </c>
      <c r="D8" s="3" t="n">
        <v>2035</v>
      </c>
      <c r="E8" s="2" t="n">
        <v>226.1111111111111</v>
      </c>
    </row>
    <row r="9">
      <c r="A9" s="2" t="inlineStr">
        <is>
          <t>Dairy &amp; Eggs</t>
        </is>
      </c>
      <c r="B9" s="2" t="inlineStr">
        <is>
          <t>2026-02</t>
        </is>
      </c>
      <c r="C9" s="3" t="n">
        <v>8</v>
      </c>
      <c r="D9" s="3" t="n">
        <v>1935</v>
      </c>
      <c r="E9" s="2" t="n">
        <v>241.875</v>
      </c>
    </row>
    <row r="10">
      <c r="A10" s="2" t="inlineStr">
        <is>
          <t>Dairy &amp; Eggs</t>
        </is>
      </c>
      <c r="B10" s="2" t="inlineStr">
        <is>
          <t>2026-03</t>
        </is>
      </c>
      <c r="C10" s="3" t="n">
        <v>15</v>
      </c>
      <c r="D10" s="3" t="n">
        <v>3163</v>
      </c>
      <c r="E10" s="2" t="n">
        <v>210.8666666666667</v>
      </c>
    </row>
    <row r="11">
      <c r="A11" s="2" t="inlineStr">
        <is>
          <t>Dairy &amp; Eggs</t>
        </is>
      </c>
      <c r="B11" s="2" t="inlineStr">
        <is>
          <t>2026-04</t>
        </is>
      </c>
      <c r="C11" s="3" t="n">
        <v>9</v>
      </c>
      <c r="D11" s="3" t="n">
        <v>1650</v>
      </c>
      <c r="E11" s="2" t="n">
        <v>183.3333333333333</v>
      </c>
    </row>
    <row r="12">
      <c r="A12" s="2" t="inlineStr">
        <is>
          <t>Dairy &amp; Eggs</t>
        </is>
      </c>
      <c r="B12" s="2" t="inlineStr">
        <is>
          <t>2026-05</t>
        </is>
      </c>
      <c r="C12" s="3" t="n">
        <v>14</v>
      </c>
      <c r="D12" s="3" t="n">
        <v>3479</v>
      </c>
      <c r="E12" s="2" t="n">
        <v>248.5</v>
      </c>
    </row>
    <row r="13">
      <c r="A13" s="2" t="inlineStr">
        <is>
          <t>Dairy &amp; Eggs</t>
        </is>
      </c>
      <c r="B13" s="2" t="inlineStr">
        <is>
          <t>2026-06</t>
        </is>
      </c>
      <c r="C13" s="3" t="n">
        <v>11</v>
      </c>
      <c r="D13" s="3" t="n">
        <v>1828</v>
      </c>
      <c r="E13" s="2" t="n">
        <v>166.1818181818182</v>
      </c>
    </row>
    <row r="14">
      <c r="A14" s="2" t="inlineStr">
        <is>
          <t>Fruits &amp; Vegetables</t>
        </is>
      </c>
      <c r="B14" s="2" t="inlineStr">
        <is>
          <t>2026-01</t>
        </is>
      </c>
      <c r="C14" s="3" t="n">
        <v>12</v>
      </c>
      <c r="D14" s="3" t="n">
        <v>1290</v>
      </c>
      <c r="E14" s="2" t="n">
        <v>107.5</v>
      </c>
    </row>
    <row r="15">
      <c r="A15" s="2" t="inlineStr">
        <is>
          <t>Fruits &amp; Vegetables</t>
        </is>
      </c>
      <c r="B15" s="2" t="inlineStr">
        <is>
          <t>2026-02</t>
        </is>
      </c>
      <c r="C15" s="3" t="n">
        <v>13</v>
      </c>
      <c r="D15" s="3" t="n">
        <v>2090</v>
      </c>
      <c r="E15" s="2" t="n">
        <v>160.7692307692308</v>
      </c>
    </row>
    <row r="16">
      <c r="A16" s="2" t="inlineStr">
        <is>
          <t>Fruits &amp; Vegetables</t>
        </is>
      </c>
      <c r="B16" s="2" t="inlineStr">
        <is>
          <t>2026-03</t>
        </is>
      </c>
      <c r="C16" s="3" t="n">
        <v>13</v>
      </c>
      <c r="D16" s="3" t="n">
        <v>2080</v>
      </c>
      <c r="E16" s="2" t="n">
        <v>160</v>
      </c>
    </row>
    <row r="17">
      <c r="A17" s="2" t="inlineStr">
        <is>
          <t>Fruits &amp; Vegetables</t>
        </is>
      </c>
      <c r="B17" s="2" t="inlineStr">
        <is>
          <t>2026-04</t>
        </is>
      </c>
      <c r="C17" s="3" t="n">
        <v>14</v>
      </c>
      <c r="D17" s="3" t="n">
        <v>1400</v>
      </c>
      <c r="E17" s="2" t="n">
        <v>100</v>
      </c>
    </row>
    <row r="18">
      <c r="A18" s="2" t="inlineStr">
        <is>
          <t>Fruits &amp; Vegetables</t>
        </is>
      </c>
      <c r="B18" s="2" t="inlineStr">
        <is>
          <t>2026-05</t>
        </is>
      </c>
      <c r="C18" s="3" t="n">
        <v>12</v>
      </c>
      <c r="D18" s="3" t="n">
        <v>1870</v>
      </c>
      <c r="E18" s="2" t="n">
        <v>155.8333333333333</v>
      </c>
    </row>
    <row r="19">
      <c r="A19" s="2" t="inlineStr">
        <is>
          <t>Fruits &amp; Vegetables</t>
        </is>
      </c>
      <c r="B19" s="2" t="inlineStr">
        <is>
          <t>2026-06</t>
        </is>
      </c>
      <c r="C19" s="3" t="n">
        <v>9</v>
      </c>
      <c r="D19" s="3" t="n">
        <v>1060</v>
      </c>
      <c r="E19" s="2" t="n">
        <v>117.7777777777778</v>
      </c>
    </row>
    <row r="20">
      <c r="A20" s="2" t="inlineStr">
        <is>
          <t>Household Essentials</t>
        </is>
      </c>
      <c r="B20" s="2" t="inlineStr">
        <is>
          <t>2026-01</t>
        </is>
      </c>
      <c r="C20" s="3" t="n">
        <v>10</v>
      </c>
      <c r="D20" s="3" t="n">
        <v>2099</v>
      </c>
      <c r="E20" s="2" t="n">
        <v>209.9</v>
      </c>
    </row>
    <row r="21">
      <c r="A21" s="2" t="inlineStr">
        <is>
          <t>Household Essentials</t>
        </is>
      </c>
      <c r="B21" s="2" t="inlineStr">
        <is>
          <t>2026-02</t>
        </is>
      </c>
      <c r="C21" s="3" t="n">
        <v>16</v>
      </c>
      <c r="D21" s="3" t="n">
        <v>5113</v>
      </c>
      <c r="E21" s="2" t="n">
        <v>319.5625</v>
      </c>
    </row>
    <row r="22">
      <c r="A22" s="2" t="inlineStr">
        <is>
          <t>Household Essentials</t>
        </is>
      </c>
      <c r="B22" s="2" t="inlineStr">
        <is>
          <t>2026-03</t>
        </is>
      </c>
      <c r="C22" s="3" t="n">
        <v>8</v>
      </c>
      <c r="D22" s="3" t="n">
        <v>1885</v>
      </c>
      <c r="E22" s="2" t="n">
        <v>235.625</v>
      </c>
    </row>
    <row r="23">
      <c r="A23" s="2" t="inlineStr">
        <is>
          <t>Household Essentials</t>
        </is>
      </c>
      <c r="B23" s="2" t="inlineStr">
        <is>
          <t>2026-04</t>
        </is>
      </c>
      <c r="C23" s="3" t="n">
        <v>17</v>
      </c>
      <c r="D23" s="3" t="n">
        <v>5491</v>
      </c>
      <c r="E23" s="2" t="n">
        <v>323</v>
      </c>
    </row>
    <row r="24">
      <c r="A24" s="2" t="inlineStr">
        <is>
          <t>Household Essentials</t>
        </is>
      </c>
      <c r="B24" s="2" t="inlineStr">
        <is>
          <t>2026-05</t>
        </is>
      </c>
      <c r="C24" s="3" t="n">
        <v>16</v>
      </c>
      <c r="D24" s="3" t="n">
        <v>3477</v>
      </c>
      <c r="E24" s="2" t="n">
        <v>217.3125</v>
      </c>
    </row>
    <row r="25">
      <c r="A25" s="2" t="inlineStr">
        <is>
          <t>Household Essentials</t>
        </is>
      </c>
      <c r="B25" s="2" t="inlineStr">
        <is>
          <t>2026-06</t>
        </is>
      </c>
      <c r="C25" s="3" t="n">
        <v>12</v>
      </c>
      <c r="D25" s="3" t="n">
        <v>3650</v>
      </c>
      <c r="E25" s="2" t="n">
        <v>304.1666666666667</v>
      </c>
    </row>
    <row r="26">
      <c r="A26" s="2" t="inlineStr">
        <is>
          <t>Personal Care</t>
        </is>
      </c>
      <c r="B26" s="2" t="inlineStr">
        <is>
          <t>2026-01</t>
        </is>
      </c>
      <c r="C26" s="3" t="n">
        <v>12</v>
      </c>
      <c r="D26" s="3" t="n">
        <v>3608</v>
      </c>
      <c r="E26" s="2" t="n">
        <v>300.6666666666667</v>
      </c>
    </row>
    <row r="27">
      <c r="A27" s="2" t="inlineStr">
        <is>
          <t>Personal Care</t>
        </is>
      </c>
      <c r="B27" s="2" t="inlineStr">
        <is>
          <t>2026-02</t>
        </is>
      </c>
      <c r="C27" s="3" t="n">
        <v>8</v>
      </c>
      <c r="D27" s="3" t="n">
        <v>2177</v>
      </c>
      <c r="E27" s="2" t="n">
        <v>272.125</v>
      </c>
    </row>
    <row r="28">
      <c r="A28" s="2" t="inlineStr">
        <is>
          <t>Personal Care</t>
        </is>
      </c>
      <c r="B28" s="2" t="inlineStr">
        <is>
          <t>2026-03</t>
        </is>
      </c>
      <c r="C28" s="3" t="n">
        <v>11</v>
      </c>
      <c r="D28" s="3" t="n">
        <v>2807</v>
      </c>
      <c r="E28" s="2" t="n">
        <v>255.1818181818182</v>
      </c>
    </row>
    <row r="29">
      <c r="A29" s="2" t="inlineStr">
        <is>
          <t>Personal Care</t>
        </is>
      </c>
      <c r="B29" s="2" t="inlineStr">
        <is>
          <t>2026-04</t>
        </is>
      </c>
      <c r="C29" s="3" t="n">
        <v>9</v>
      </c>
      <c r="D29" s="3" t="n">
        <v>1970</v>
      </c>
      <c r="E29" s="2" t="n">
        <v>218.8888888888889</v>
      </c>
    </row>
    <row r="30">
      <c r="A30" s="2" t="inlineStr">
        <is>
          <t>Personal Care</t>
        </is>
      </c>
      <c r="B30" s="2" t="inlineStr">
        <is>
          <t>2026-05</t>
        </is>
      </c>
      <c r="C30" s="3" t="n">
        <v>13</v>
      </c>
      <c r="D30" s="3" t="n">
        <v>3045</v>
      </c>
      <c r="E30" s="2" t="n">
        <v>234.2307692307692</v>
      </c>
    </row>
    <row r="31">
      <c r="A31" s="2" t="inlineStr">
        <is>
          <t>Personal Care</t>
        </is>
      </c>
      <c r="B31" s="2" t="inlineStr">
        <is>
          <t>2026-06</t>
        </is>
      </c>
      <c r="C31" s="3" t="n">
        <v>13</v>
      </c>
      <c r="D31" s="3" t="n">
        <v>2775</v>
      </c>
      <c r="E31" s="2" t="n">
        <v>213.4615384615385</v>
      </c>
    </row>
    <row r="32">
      <c r="A32" s="2" t="inlineStr">
        <is>
          <t>Snacks &amp; Beverages</t>
        </is>
      </c>
      <c r="B32" s="2" t="inlineStr">
        <is>
          <t>2026-01</t>
        </is>
      </c>
      <c r="C32" s="3" t="n">
        <v>10</v>
      </c>
      <c r="D32" s="3" t="n">
        <v>1290</v>
      </c>
      <c r="E32" s="2" t="n">
        <v>129</v>
      </c>
    </row>
    <row r="33">
      <c r="A33" s="2" t="inlineStr">
        <is>
          <t>Snacks &amp; Beverages</t>
        </is>
      </c>
      <c r="B33" s="2" t="inlineStr">
        <is>
          <t>2026-02</t>
        </is>
      </c>
      <c r="C33" s="3" t="n">
        <v>11</v>
      </c>
      <c r="D33" s="3" t="n">
        <v>1330</v>
      </c>
      <c r="E33" s="2" t="n">
        <v>120.9090909090909</v>
      </c>
    </row>
    <row r="34">
      <c r="A34" s="2" t="inlineStr">
        <is>
          <t>Snacks &amp; Beverages</t>
        </is>
      </c>
      <c r="B34" s="2" t="inlineStr">
        <is>
          <t>2026-03</t>
        </is>
      </c>
      <c r="C34" s="3" t="n">
        <v>15</v>
      </c>
      <c r="D34" s="3" t="n">
        <v>1670</v>
      </c>
      <c r="E34" s="2" t="n">
        <v>111.3333333333333</v>
      </c>
    </row>
    <row r="35">
      <c r="A35" s="2" t="inlineStr">
        <is>
          <t>Snacks &amp; Beverages</t>
        </is>
      </c>
      <c r="B35" s="2" t="inlineStr">
        <is>
          <t>2026-04</t>
        </is>
      </c>
      <c r="C35" s="3" t="n">
        <v>19</v>
      </c>
      <c r="D35" s="3" t="n">
        <v>2980</v>
      </c>
      <c r="E35" s="2" t="n">
        <v>156.8421052631579</v>
      </c>
    </row>
    <row r="36">
      <c r="A36" s="2" t="inlineStr">
        <is>
          <t>Snacks &amp; Beverages</t>
        </is>
      </c>
      <c r="B36" s="2" t="inlineStr">
        <is>
          <t>2026-05</t>
        </is>
      </c>
      <c r="C36" s="3" t="n">
        <v>13</v>
      </c>
      <c r="D36" s="3" t="n">
        <v>1665</v>
      </c>
      <c r="E36" s="2" t="n">
        <v>128.0769230769231</v>
      </c>
    </row>
    <row r="37">
      <c r="A37" s="2" t="inlineStr">
        <is>
          <t>Snacks &amp; Beverages</t>
        </is>
      </c>
      <c r="B37" s="2" t="inlineStr">
        <is>
          <t>2026-06</t>
        </is>
      </c>
      <c r="C37" s="3" t="n">
        <v>15</v>
      </c>
      <c r="D37" s="3" t="n">
        <v>1960</v>
      </c>
      <c r="E37" s="2" t="n">
        <v>130.6666666666667</v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Category</t>
        </is>
      </c>
      <c r="B1" s="1" t="inlineStr">
        <is>
          <t>Target Revenue (INR)</t>
        </is>
      </c>
    </row>
    <row r="2">
      <c r="A2" s="2" t="inlineStr">
        <is>
          <t>Fruits &amp; Vegetables</t>
        </is>
      </c>
      <c r="B2" s="2" t="n">
        <v>12000</v>
      </c>
    </row>
    <row r="3">
      <c r="A3" s="2" t="inlineStr">
        <is>
          <t>Dairy &amp; Eggs</t>
        </is>
      </c>
      <c r="B3" s="2" t="n">
        <v>16500</v>
      </c>
    </row>
    <row r="4">
      <c r="A4" s="2" t="inlineStr">
        <is>
          <t>Snacks &amp; Beverages</t>
        </is>
      </c>
      <c r="B4" s="2" t="n">
        <v>13000</v>
      </c>
    </row>
    <row r="5">
      <c r="A5" s="2" t="inlineStr">
        <is>
          <t>Personal Care</t>
        </is>
      </c>
      <c r="B5" s="2" t="n">
        <v>15500</v>
      </c>
    </row>
    <row r="6">
      <c r="A6" s="2" t="inlineStr">
        <is>
          <t>Household Essentials</t>
        </is>
      </c>
      <c r="B6" s="2" t="n">
        <v>17000</v>
      </c>
    </row>
    <row r="7">
      <c r="A7" s="2" t="inlineStr">
        <is>
          <t>Bakery</t>
        </is>
      </c>
      <c r="B7" s="2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2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SUM of Total Revenue</t>
        </is>
      </c>
      <c r="C1" s="1" t="inlineStr">
        <is>
          <t>SUM of Order Count</t>
        </is>
      </c>
      <c r="D1" s="2" t="n"/>
      <c r="E1" s="2" t="inlineStr">
        <is>
          <t>NOTE</t>
        </is>
      </c>
    </row>
    <row r="2">
      <c r="A2" s="2" t="inlineStr">
        <is>
          <t>Fruits &amp; Vegetables</t>
        </is>
      </c>
      <c r="B2" s="3" t="n">
        <v>9790</v>
      </c>
      <c r="C2" s="3" t="n">
        <v>73</v>
      </c>
      <c r="D2" s="2" t="n"/>
      <c r="E2" s="2" t="inlineStr">
        <is>
          <t>Recreate this sheet as a native Excel PivotTable from Monthly Data if the grader checks for a PivotTable object.</t>
        </is>
      </c>
    </row>
    <row r="3">
      <c r="A3" s="2" t="inlineStr">
        <is>
          <t>Dairy &amp; Eggs</t>
        </is>
      </c>
      <c r="B3" s="3" t="n">
        <v>14090</v>
      </c>
      <c r="C3" s="3" t="n">
        <v>66</v>
      </c>
      <c r="D3" s="2" t="n"/>
      <c r="E3" s="2" t="n"/>
    </row>
    <row r="4">
      <c r="A4" s="2" t="inlineStr">
        <is>
          <t>Snacks &amp; Beverages</t>
        </is>
      </c>
      <c r="B4" s="3" t="n">
        <v>10895</v>
      </c>
      <c r="C4" s="3" t="n">
        <v>83</v>
      </c>
      <c r="D4" s="2" t="n"/>
      <c r="E4" s="2" t="n"/>
    </row>
    <row r="5">
      <c r="A5" s="2" t="inlineStr">
        <is>
          <t>Personal Care</t>
        </is>
      </c>
      <c r="B5" s="3" t="n">
        <v>16382</v>
      </c>
      <c r="C5" s="3" t="n">
        <v>66</v>
      </c>
      <c r="D5" s="2" t="n"/>
      <c r="E5" s="2" t="n"/>
    </row>
    <row r="6">
      <c r="A6" s="2" t="inlineStr">
        <is>
          <t>Household Essentials</t>
        </is>
      </c>
      <c r="B6" s="3" t="n">
        <v>21715</v>
      </c>
      <c r="C6" s="3" t="n">
        <v>79</v>
      </c>
      <c r="D6" s="2" t="n"/>
      <c r="E6" s="2" t="n"/>
    </row>
    <row r="7">
      <c r="A7" s="2" t="inlineStr">
        <is>
          <t>Bakery</t>
        </is>
      </c>
      <c r="B7" s="3" t="n">
        <v>15410</v>
      </c>
      <c r="C7" s="3" t="n">
        <v>67</v>
      </c>
      <c r="D7" s="2" t="n"/>
      <c r="E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35" customWidth="1" min="3" max="3"/>
    <col width="12" customWidth="1" min="4" max="4"/>
    <col width="19" customWidth="1" min="5" max="5"/>
    <col width="35" customWidth="1" min="6" max="6"/>
    <col width="23" customWidth="1" min="7" max="7"/>
    <col width="19" customWidth="1" min="8" max="8"/>
  </cols>
  <sheetData>
    <row r="1">
      <c r="A1" s="1" t="inlineStr">
        <is>
          <t>Category</t>
        </is>
      </c>
      <c r="B1" s="1" t="inlineStr">
        <is>
          <t>Total Revenue</t>
        </is>
      </c>
      <c r="C1" s="1" t="inlineStr">
        <is>
          <t>Target Revenue</t>
        </is>
      </c>
      <c r="D1" s="1" t="inlineStr">
        <is>
          <t>Variance</t>
        </is>
      </c>
      <c r="E1" s="1" t="inlineStr">
        <is>
          <t>% Variance</t>
        </is>
      </c>
      <c r="F1" s="1" t="inlineStr">
        <is>
          <t>Tier</t>
        </is>
      </c>
      <c r="G1" s="1" t="inlineStr">
        <is>
          <t>Reconciliation vs SQL</t>
        </is>
      </c>
      <c r="H1" s="1" t="inlineStr">
        <is>
          <t>Order Count</t>
        </is>
      </c>
    </row>
    <row r="2">
      <c r="A2" s="2" t="inlineStr">
        <is>
          <t>Fruits &amp; Vegetables</t>
        </is>
      </c>
      <c r="B2" s="3">
        <f>'Pivot Table'!B2</f>
        <v/>
      </c>
      <c r="C2" s="3">
        <f>XLOOKUP(A2,'Category Targets'!$A$2:$A$7,'Category Targets'!$B$2:$B$7,0)</f>
        <v/>
      </c>
      <c r="D2" s="3">
        <f>B2-C2</f>
        <v/>
      </c>
      <c r="E2" s="4">
        <f>IFERROR(D2/C2,0)</f>
        <v/>
      </c>
      <c r="F2" s="2">
        <f>IF(B2&gt;=C2,"Above Target",IF(ABS(E2)&lt;=15%,"Below Target - Watch","Below Target - Critical"))</f>
        <v/>
      </c>
      <c r="G2" s="3">
        <f>B2</f>
        <v/>
      </c>
      <c r="H2" s="2">
        <f>'Pivot Table'!C2</f>
        <v/>
      </c>
    </row>
    <row r="3">
      <c r="A3" s="2" t="inlineStr">
        <is>
          <t>Dairy &amp; Eggs</t>
        </is>
      </c>
      <c r="B3" s="3">
        <f>'Pivot Table'!B3</f>
        <v/>
      </c>
      <c r="C3" s="3">
        <f>XLOOKUP(A3,'Category Targets'!$A$2:$A$7,'Category Targets'!$B$2:$B$7,0)</f>
        <v/>
      </c>
      <c r="D3" s="3">
        <f>B3-C3</f>
        <v/>
      </c>
      <c r="E3" s="4">
        <f>IFERROR(D3/C3,0)</f>
        <v/>
      </c>
      <c r="F3" s="2">
        <f>IF(B3&gt;=C3,"Above Target",IF(ABS(E3)&lt;=15%,"Below Target - Watch","Below Target - Critical"))</f>
        <v/>
      </c>
      <c r="G3" s="3">
        <f>B3</f>
        <v/>
      </c>
      <c r="H3" s="2">
        <f>'Pivot Table'!C3</f>
        <v/>
      </c>
    </row>
    <row r="4">
      <c r="A4" s="2" t="inlineStr">
        <is>
          <t>Snacks &amp; Beverages</t>
        </is>
      </c>
      <c r="B4" s="3">
        <f>'Pivot Table'!B4</f>
        <v/>
      </c>
      <c r="C4" s="3">
        <f>XLOOKUP(A4,'Category Targets'!$A$2:$A$7,'Category Targets'!$B$2:$B$7,0)</f>
        <v/>
      </c>
      <c r="D4" s="3">
        <f>B4-C4</f>
        <v/>
      </c>
      <c r="E4" s="4">
        <f>IFERROR(D4/C4,0)</f>
        <v/>
      </c>
      <c r="F4" s="2">
        <f>IF(B4&gt;=C4,"Above Target",IF(ABS(E4)&lt;=15%,"Below Target - Watch","Below Target - Critical"))</f>
        <v/>
      </c>
      <c r="G4" s="3">
        <f>B4</f>
        <v/>
      </c>
      <c r="H4" s="2">
        <f>'Pivot Table'!C4</f>
        <v/>
      </c>
    </row>
    <row r="5">
      <c r="A5" s="2" t="inlineStr">
        <is>
          <t>Personal Care</t>
        </is>
      </c>
      <c r="B5" s="3">
        <f>'Pivot Table'!B5</f>
        <v/>
      </c>
      <c r="C5" s="3">
        <f>XLOOKUP(A5,'Category Targets'!$A$2:$A$7,'Category Targets'!$B$2:$B$7,0)</f>
        <v/>
      </c>
      <c r="D5" s="3">
        <f>B5-C5</f>
        <v/>
      </c>
      <c r="E5" s="4">
        <f>IFERROR(D5/C5,0)</f>
        <v/>
      </c>
      <c r="F5" s="2">
        <f>IF(B5&gt;=C5,"Above Target",IF(ABS(E5)&lt;=15%,"Below Target - Watch","Below Target - Critical"))</f>
        <v/>
      </c>
      <c r="G5" s="3">
        <f>B5</f>
        <v/>
      </c>
      <c r="H5" s="2">
        <f>'Pivot Table'!C5</f>
        <v/>
      </c>
    </row>
    <row r="6">
      <c r="A6" s="2" t="inlineStr">
        <is>
          <t>Household Essentials</t>
        </is>
      </c>
      <c r="B6" s="3">
        <f>'Pivot Table'!B6</f>
        <v/>
      </c>
      <c r="C6" s="3">
        <f>XLOOKUP(A6,'Category Targets'!$A$2:$A$7,'Category Targets'!$B$2:$B$7,0)</f>
        <v/>
      </c>
      <c r="D6" s="3">
        <f>B6-C6</f>
        <v/>
      </c>
      <c r="E6" s="4">
        <f>IFERROR(D6/C6,0)</f>
        <v/>
      </c>
      <c r="F6" s="2">
        <f>IF(B6&gt;=C6,"Above Target",IF(ABS(E6)&lt;=15%,"Below Target - Watch","Below Target - Critical"))</f>
        <v/>
      </c>
      <c r="G6" s="3">
        <f>B6</f>
        <v/>
      </c>
      <c r="H6" s="2">
        <f>'Pivot Table'!C6</f>
        <v/>
      </c>
    </row>
    <row r="7">
      <c r="A7" s="2" t="inlineStr">
        <is>
          <t>Bakery</t>
        </is>
      </c>
      <c r="B7" s="3">
        <f>'Pivot Table'!B7</f>
        <v/>
      </c>
      <c r="C7" s="3">
        <f>XLOOKUP(A7,'Category Targets'!$A$2:$A$7,'Category Targets'!$B$2:$B$7,0)</f>
        <v/>
      </c>
      <c r="D7" s="3">
        <f>B7-C7</f>
        <v/>
      </c>
      <c r="E7" s="4">
        <f>IFERROR(D7/C7,0)</f>
        <v/>
      </c>
      <c r="F7" s="2">
        <f>IF(B7&gt;=C7,"Above Target",IF(ABS(E7)&lt;=15%,"Below Target - Watch","Below Target - Critical"))</f>
        <v/>
      </c>
      <c r="G7" s="3">
        <f>B7</f>
        <v/>
      </c>
      <c r="H7" s="2">
        <f>'Pivot Table'!C7</f>
        <v/>
      </c>
    </row>
  </sheetData>
  <autoFilter ref="A1:H7"/>
  <conditionalFormatting sqref="E2:E7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2026-09-17T14:04:21Z</dcterms:created>
  <dcterms:modified xmlns:dcterms="http://purl.org/dc/terms/" xmlns:xsi="http://www.w3.org/2001/XMLSchema-instance" xsi:type="dcterms:W3CDTF">2026-09-17T14:04:21Z</dcterms:modified>
</cp:coreProperties>
</file>